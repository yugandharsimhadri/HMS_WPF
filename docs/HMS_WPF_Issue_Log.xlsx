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25" windowWidth="28455" windowHeight="14505" activeTab="2"/>
  </bookViews>
  <sheets>
    <sheet name="Summary" sheetId="1" r:id="rId1"/>
    <sheet name="Bugs" sheetId="2" r:id="rId2"/>
    <sheet name="Features" sheetId="3" r:id="rId3"/>
  </sheets>
  <definedNames>
    <definedName name="_xlnm._FilterDatabase" localSheetId="1" hidden="1">Bugs!$A$1:$M$15</definedName>
    <definedName name="_xlnm._FilterDatabase" localSheetId="2" hidden="1">Features!$A$1:$M$14</definedName>
  </definedNames>
  <calcPr calcId="124519"/>
</workbook>
</file>

<file path=xl/calcChain.xml><?xml version="1.0" encoding="utf-8"?>
<calcChain xmlns="http://schemas.openxmlformats.org/spreadsheetml/2006/main">
  <c r="B22" i="1"/>
  <c r="E21"/>
  <c r="B21"/>
  <c r="E20"/>
  <c r="B20"/>
  <c r="E19"/>
  <c r="B19"/>
  <c r="E18"/>
  <c r="B18"/>
</calcChain>
</file>

<file path=xl/sharedStrings.xml><?xml version="1.0" encoding="utf-8"?>
<sst xmlns="http://schemas.openxmlformats.org/spreadsheetml/2006/main" count="230" uniqueCount="172">
  <si>
    <t>HMS_WPF - Issue and Feature Log</t>
  </si>
  <si>
    <t>Read-only code analysis of the HMS_WPF solution (Pharma.App / Pharma.Core / Pharma.Data). No code was changed.</t>
  </si>
  <si>
    <t>Source: analysis session 28 Jul 2026. Evidence column cites the file and line each finding was read from.</t>
  </si>
  <si>
    <t>How to use this workbook</t>
  </si>
  <si>
    <t>Yellow cells are yours to fill in</t>
  </si>
  <si>
    <t>Priority, Severity / Criticality, Status, Owner, Target and Notes on both sheets.</t>
  </si>
  <si>
    <t>'Suggested' column</t>
  </si>
  <si>
    <t>My suggestion only, from the code analysis. It is deliberately kept separate so it never overwrites your call.</t>
  </si>
  <si>
    <t>Priority - Bugs sheet</t>
  </si>
  <si>
    <t>P1 / P2 / P3   (dropdown provided)</t>
  </si>
  <si>
    <t>Priority - Features sheet</t>
  </si>
  <si>
    <t>C1 / C2   (dropdown provided)</t>
  </si>
  <si>
    <t>Status - both sheets</t>
  </si>
  <si>
    <t>Open / In Progress / Fixed / Deferred / Won't Do   (dropdown provided)</t>
  </si>
  <si>
    <t>Counts below</t>
  </si>
  <si>
    <t>Live formulas over the Priority column - they update as soon as you fill it in.</t>
  </si>
  <si>
    <t>Example of a completed row (for format only - not a real finding):</t>
  </si>
  <si>
    <t>ID</t>
  </si>
  <si>
    <t>Priority</t>
  </si>
  <si>
    <t>Severity</t>
  </si>
  <si>
    <t>Status</t>
  </si>
  <si>
    <t>Owner</t>
  </si>
  <si>
    <t>Target</t>
  </si>
  <si>
    <t>Notes</t>
  </si>
  <si>
    <t>B1</t>
  </si>
  <si>
    <t>P1</t>
  </si>
  <si>
    <t>Critical</t>
  </si>
  <si>
    <t>In Progress</t>
  </si>
  <si>
    <t>Srini</t>
  </si>
  <si>
    <t>Sprint 1</t>
  </si>
  <si>
    <t>Switch to SQLite Online Backup API</t>
  </si>
  <si>
    <t>Bugs by priority</t>
  </si>
  <si>
    <t>Features by priority</t>
  </si>
  <si>
    <t>C1</t>
  </si>
  <si>
    <t>P2</t>
  </si>
  <si>
    <t>C2</t>
  </si>
  <si>
    <t>P3</t>
  </si>
  <si>
    <t>Unset</t>
  </si>
  <si>
    <t>Total logged</t>
  </si>
  <si>
    <t>Area</t>
  </si>
  <si>
    <t>Issue</t>
  </si>
  <si>
    <t>Why it matters</t>
  </si>
  <si>
    <t>Evidence (file:line)</t>
  </si>
  <si>
    <t>Suggested</t>
  </si>
  <si>
    <t>Backup / DR</t>
  </si>
  <si>
    <t>Backup copies a live SQLite file with File.Copy</t>
  </si>
  <si>
    <t>No SQLite backup API, no VACUUM INTO, no -wal/-shm or journal handling. A copy taken mid-transaction can be torn. This is the clinic's only disaster-recovery path.</t>
  </si>
  <si>
    <t>src/Pharma.Data/DbBootstrapper.cs:151, :183</t>
  </si>
  <si>
    <t>B2</t>
  </si>
  <si>
    <t>No way to restore from a backup</t>
  </si>
  <si>
    <t>Backups are written and pruned, but recovery is only possible by manually copying files outside the app. Verified absent from the whole codebase.</t>
  </si>
  <si>
    <t>(absent - no restore code anywhere)</t>
  </si>
  <si>
    <t>B3</t>
  </si>
  <si>
    <t>Reports / Money</t>
  </si>
  <si>
    <t>Consultation fees totalled by visit date, not payment date</t>
  </si>
  <si>
    <t>Visit.FeePaidOn is recorded and printed on receipts but never used in any report. A fee collected on a later day lands in the earlier day's takings, so the till will not reconcile.</t>
  </si>
  <si>
    <t>src/Pharma.App/ViewModels/ReportsViewModel.cs:178</t>
  </si>
  <si>
    <t>B4</t>
  </si>
  <si>
    <t>Reliability / UX</t>
  </si>
  <si>
    <t>Background failures are invisible to the user</t>
  </si>
  <si>
    <t>Forget() logs the exception but shows nothing on screen. A failed stock re-allocation silently leaves a stale quantity on a bill line; a failed history load leaves stale data displayed.</t>
  </si>
  <si>
    <t>src/Pharma.Data/AppLog.cs:283</t>
  </si>
  <si>
    <t>B5</t>
  </si>
  <si>
    <t>Patients / Perf</t>
  </si>
  <si>
    <t>Phone lookup loads every patient and can match the wrong family</t>
  </si>
  <si>
    <t>GetPatientsByPhoneAsync reads all patients into memory, then suffix-matches in both directions, so a stored 6-digit number matches a 10-digit search.</t>
  </si>
  <si>
    <t>src/Pharma.Data/OpdService.cs:62</t>
  </si>
  <si>
    <t>B6</t>
  </si>
  <si>
    <t>Costing</t>
  </si>
  <si>
    <t>Dead ternary in EffectivePackCost - both branches identical</t>
  </si>
  <si>
    <t>Reads 'QtyOnHand &gt; 0 ? PurchaseRate : PurchaseRate'. The intended logic appears to have been lost, so free-goods/margin figures derived from it are suspect.</t>
  </si>
  <si>
    <t>src/Pharma.Core/Entities.cs:297</t>
  </si>
  <si>
    <t>B7</t>
  </si>
  <si>
    <t>OPD</t>
  </si>
  <si>
    <t>Token allocation has no transaction or unique constraint</t>
  </si>
  <si>
    <t>Token is Max(TokenNo)+1 with no unique index on (date, token), so duplicate tokens are possible. Low risk while the app is single-user on one PC.</t>
  </si>
  <si>
    <t>src/Pharma.Data/OpdService.cs:265</t>
  </si>
  <si>
    <t>B8</t>
  </si>
  <si>
    <t>Inventory</t>
  </si>
  <si>
    <t>Stock can be received with an expiry date in the past</t>
  </si>
  <si>
    <t>Neither ReceiveStockAsync nor QuickAddStockAsync validates expiry. Expired batches enter the shelf, then are silently excluded from allocation - invisible dead stock with no warning.</t>
  </si>
  <si>
    <t>src/Pharma.Data/PharmacyService.cs:260, :430</t>
  </si>
  <si>
    <t>B9</t>
  </si>
  <si>
    <t>Counter</t>
  </si>
  <si>
    <t>Sale does not re-check batch expiry at save time</t>
  </si>
  <si>
    <t>SaveSaleAsync re-validates quantity but not IsExpired, so a bill line prepared before midnight can be saved after the batch has expired.</t>
  </si>
  <si>
    <t>src/Pharma.Data/PharmacyService.cs:703</t>
  </si>
  <si>
    <t>B10</t>
  </si>
  <si>
    <t>Patients / Validation</t>
  </si>
  <si>
    <t>Age and phone accept invalid values</t>
  </si>
  <si>
    <t>int.TryParse silently yields 0 for non-numeric age, and negative ages are stored unvalidated. Phone is free text with no format check or normalisation.</t>
  </si>
  <si>
    <t>src/Pharma.App/ViewModels/PatientsViewModel.cs:191</t>
  </si>
  <si>
    <t>B11</t>
  </si>
  <si>
    <t>Counter / Perf</t>
  </si>
  <si>
    <t>Product lookup by Id loads up to 1000 rows</t>
  </si>
  <si>
    <t>Both the prescription load and the line re-allocation call SearchProductsAsync(null, 1000) and then filter in memory to find a single product by Id.</t>
  </si>
  <si>
    <t>src/Pharma.App/ViewModels/SaleViewModel.cs:266, :546</t>
  </si>
  <si>
    <t>B12</t>
  </si>
  <si>
    <t>Repack and adjust operate on soft-deleted batches</t>
  </si>
  <si>
    <t>RepackAsync, PreviewRepackAsync and AdjustStockAsync do not filter IsDeleted, so deleted batches get recounted and adjusted.</t>
  </si>
  <si>
    <t>src/Pharma.Data/PharmacyService.cs:563, :599, :384</t>
  </si>
  <si>
    <t>B13</t>
  </si>
  <si>
    <t>Reports</t>
  </si>
  <si>
    <t>Stock register includes batches of soft-deleted products</t>
  </si>
  <si>
    <t>GetAllBatchesAsync filters deleted batches but not batches whose parent product has been deleted.</t>
  </si>
  <si>
    <t>src/Pharma.Data/PharmacyService.cs:241</t>
  </si>
  <si>
    <t>B14</t>
  </si>
  <si>
    <t>No visit status transition rules</t>
  </si>
  <si>
    <t>SetStatusAsync accepts any status change, so a Completed or Cancelled visit can be moved back to Booked.</t>
  </si>
  <si>
    <t>src/Pharma.Data/OpdService.cs:290</t>
  </si>
  <si>
    <t>Feature</t>
  </si>
  <si>
    <t>Why / value</t>
  </si>
  <si>
    <t>Criticality</t>
  </si>
  <si>
    <t>F1</t>
  </si>
  <si>
    <t>Counter / Money</t>
  </si>
  <si>
    <t>Sales return, refund and bill cancellation</t>
  </si>
  <si>
    <t>SaleStatus.Returned and .Cancelled exist and both reports already filter on them, but no code path ever sets them. A wrong bill is permanent and returned medicine cannot go back on the shelf. Half-built.</t>
  </si>
  <si>
    <t>src/Pharma.Core/Enums.cs:98; ReportsViewModel.cs:158, :204</t>
  </si>
  <si>
    <t>F2</t>
  </si>
  <si>
    <t>Restore from backup inside the app</t>
  </si>
  <si>
    <t>Pairs with B1/B2. Backups are useless to a clinic that cannot restore them without help.</t>
  </si>
  <si>
    <t>src/Pharma.Data/DbBootstrapper.cs</t>
  </si>
  <si>
    <t>F3</t>
  </si>
  <si>
    <t>Security</t>
  </si>
  <si>
    <t>Authentication and roles</t>
  </si>
  <si>
    <t>No login of any kind. Anyone at the PC can view, edit and delete patient records, reprice stock and adjust quantities. Audit fields capture only the Windows username (Environment.UserName).</t>
  </si>
  <si>
    <t>(absent); audit fields at Entities.cs:377, :543</t>
  </si>
  <si>
    <t>F4</t>
  </si>
  <si>
    <t>Edit or void a saved bill</t>
  </si>
  <si>
    <t>There is no correction path once a bill is saved - only a fresh bill can be raised.</t>
  </si>
  <si>
    <t>src/Pharma.Data/PharmacyService.cs:662</t>
  </si>
  <si>
    <t>F5</t>
  </si>
  <si>
    <t>Discounts at the counter</t>
  </si>
  <si>
    <t>SaleRow.DiscountPercent and the whole calculation chain support discounts, but it is pinned to NoDiscount = 0 and there is no input in the UI. Half-built.</t>
  </si>
  <si>
    <t>src/Pharma.App/ViewModels/SaleViewModel.cs:86</t>
  </si>
  <si>
    <t>F6</t>
  </si>
  <si>
    <t>Database encryption at rest</t>
  </si>
  <si>
    <t>Patient records sit in a plain, unencrypted SQLite file under C:\HMS\DB that can be copied off the machine wholesale.</t>
  </si>
  <si>
    <t>src/Pharma.Data/DbBootstrapper.cs:33</t>
  </si>
  <si>
    <t>F7</t>
  </si>
  <si>
    <t>Patients</t>
  </si>
  <si>
    <t>Duplicate patient detection on save</t>
  </si>
  <si>
    <t>Medicines have a unique SearchKey with a database constraint behind it; patients have nothing equivalent, so the same child can be registered repeatedly.</t>
  </si>
  <si>
    <t>src/Pharma.Data/OpdService.cs:85</t>
  </si>
  <si>
    <t>F8</t>
  </si>
  <si>
    <t>Expiry write-off and distributor-return workflow</t>
  </si>
  <si>
    <t>The Expiring Soon report already computes returnable sealed packs versus loose units to write off, but offers no action to record either.</t>
  </si>
  <si>
    <t>src/Pharma.Core/Entities.cs:332</t>
  </si>
  <si>
    <t>F9</t>
  </si>
  <si>
    <t>Purchasing</t>
  </si>
  <si>
    <t>Purchase orders / reorder from Low Stock</t>
  </si>
  <si>
    <t>Low Stock identifies what has fallen below reorder level but nothing can be raised from it.</t>
  </si>
  <si>
    <t>src/Pharma.Data/PharmacyService.cs:889</t>
  </si>
  <si>
    <t>F10</t>
  </si>
  <si>
    <t>Supplier ledger and payables</t>
  </si>
  <si>
    <t>StockEntry.NetAmount and DiscountPercent are stored on the entity but never populated or reported; there is no view of what is owed to whom.</t>
  </si>
  <si>
    <t>src/Pharma.Core/Entities.cs:364</t>
  </si>
  <si>
    <t>F11</t>
  </si>
  <si>
    <t>Barcode scanning</t>
  </si>
  <si>
    <t>Every counter line is found by typing. Barcode entry would cut both time and mis-picks.</t>
  </si>
  <si>
    <t>src/Pharma.App/Views/SaleView.xaml</t>
  </si>
  <si>
    <t>F12</t>
  </si>
  <si>
    <t>Send receipt or prescription by SMS / WhatsApp</t>
  </si>
  <si>
    <t>Documents can only be printed or previewed as PDF today.</t>
  </si>
  <si>
    <t>src/Pharma.App/Printing/PrintService.cs</t>
  </si>
  <si>
    <t>F13</t>
  </si>
  <si>
    <t>Billing / Tax</t>
  </si>
  <si>
    <t>IGST / inter-state billing</t>
  </si>
  <si>
    <t>CGST+SGST only. Documented as a deliberate v1 scope decision - log only if you want to revisit it.</t>
  </si>
  <si>
    <t>src/Pharma.Core/GstCalculator.cs (class comment)</t>
  </si>
  <si>
    <t>P5</t>
  </si>
  <si>
    <t>Release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</si>
</sst>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name val="Arial"/>
    </font>
    <font>
      <i/>
      <sz val="9"/>
      <color rgb="FF666666"/>
      <name val="Arial"/>
    </font>
    <font>
      <b/>
      <sz val="11"/>
      <name val="Arial"/>
    </font>
    <font>
      <b/>
      <sz val="10"/>
      <name val="Arial"/>
    </font>
    <font>
      <sz val="10"/>
      <name val="Arial"/>
    </font>
    <font>
      <b/>
      <i/>
      <sz val="1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/>
    <xf numFmtId="0" fontId="6" fillId="0" borderId="1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0" fontId="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1" max="1" width="103.85546875" bestFit="1" customWidth="1"/>
    <col min="2" max="2" width="30" customWidth="1"/>
    <col min="3" max="3" width="14" customWidth="1"/>
    <col min="4" max="4" width="22" customWidth="1"/>
    <col min="5" max="5" width="14" customWidth="1"/>
  </cols>
  <sheetData>
    <row r="1" spans="1:7" ht="18">
      <c r="A1" s="1" t="s">
        <v>0</v>
      </c>
    </row>
    <row r="2" spans="1:7">
      <c r="A2" s="2" t="s">
        <v>1</v>
      </c>
    </row>
    <row r="3" spans="1:7">
      <c r="A3" s="3" t="s">
        <v>2</v>
      </c>
    </row>
    <row r="5" spans="1:7">
      <c r="A5" s="4" t="s">
        <v>3</v>
      </c>
    </row>
    <row r="6" spans="1:7">
      <c r="A6" s="5" t="s">
        <v>4</v>
      </c>
      <c r="B6" s="6" t="s">
        <v>5</v>
      </c>
    </row>
    <row r="7" spans="1:7">
      <c r="A7" s="5" t="s">
        <v>6</v>
      </c>
      <c r="B7" s="6" t="s">
        <v>7</v>
      </c>
    </row>
    <row r="8" spans="1:7">
      <c r="A8" s="5" t="s">
        <v>8</v>
      </c>
      <c r="B8" s="6" t="s">
        <v>9</v>
      </c>
    </row>
    <row r="9" spans="1:7">
      <c r="A9" s="5" t="s">
        <v>10</v>
      </c>
      <c r="B9" s="6" t="s">
        <v>11</v>
      </c>
    </row>
    <row r="10" spans="1:7">
      <c r="A10" s="5" t="s">
        <v>12</v>
      </c>
      <c r="B10" s="6" t="s">
        <v>13</v>
      </c>
    </row>
    <row r="11" spans="1:7">
      <c r="A11" s="5" t="s">
        <v>14</v>
      </c>
      <c r="B11" s="6" t="s">
        <v>15</v>
      </c>
    </row>
    <row r="13" spans="1:7">
      <c r="A13" s="7" t="s">
        <v>16</v>
      </c>
    </row>
    <row r="14" spans="1:7">
      <c r="A14" s="8" t="s">
        <v>17</v>
      </c>
      <c r="B14" s="8" t="s">
        <v>18</v>
      </c>
      <c r="C14" s="8" t="s">
        <v>19</v>
      </c>
      <c r="D14" s="8" t="s">
        <v>20</v>
      </c>
      <c r="E14" s="8" t="s">
        <v>21</v>
      </c>
      <c r="F14" s="8" t="s">
        <v>22</v>
      </c>
      <c r="G14" s="8" t="s">
        <v>23</v>
      </c>
    </row>
    <row r="15" spans="1:7">
      <c r="A15" s="9" t="s">
        <v>24</v>
      </c>
      <c r="B15" s="9" t="s">
        <v>25</v>
      </c>
      <c r="C15" s="9" t="s">
        <v>26</v>
      </c>
      <c r="D15" s="9" t="s">
        <v>27</v>
      </c>
      <c r="E15" s="9" t="s">
        <v>28</v>
      </c>
      <c r="F15" s="9" t="s">
        <v>29</v>
      </c>
      <c r="G15" s="9" t="s">
        <v>30</v>
      </c>
    </row>
    <row r="17" spans="1:5">
      <c r="A17" s="4" t="s">
        <v>31</v>
      </c>
      <c r="D17" s="4" t="s">
        <v>32</v>
      </c>
    </row>
    <row r="18" spans="1:5">
      <c r="A18" s="6" t="s">
        <v>25</v>
      </c>
      <c r="B18" s="6">
        <f>COUNTIF(Bugs!$H$2:$H$15,A18)</f>
        <v>0</v>
      </c>
      <c r="D18" s="6" t="s">
        <v>33</v>
      </c>
      <c r="E18" s="6">
        <f>COUNTIF(Features!$H$2:$H$14,D18)</f>
        <v>0</v>
      </c>
    </row>
    <row r="19" spans="1:5">
      <c r="A19" s="6" t="s">
        <v>34</v>
      </c>
      <c r="B19" s="6">
        <f>COUNTIF(Bugs!$H$2:$H$15,A19)</f>
        <v>0</v>
      </c>
      <c r="D19" s="6" t="s">
        <v>35</v>
      </c>
      <c r="E19" s="6">
        <f>COUNTIF(Features!$H$2:$H$14,D19)</f>
        <v>0</v>
      </c>
    </row>
    <row r="20" spans="1:5">
      <c r="A20" s="6" t="s">
        <v>36</v>
      </c>
      <c r="B20" s="6">
        <f>COUNTIF(Bugs!$H$2:$H$15,A20)</f>
        <v>0</v>
      </c>
      <c r="D20" s="6" t="s">
        <v>37</v>
      </c>
      <c r="E20" s="6">
        <f>COUNTBLANK(Features!$H$2:$H$14)</f>
        <v>13</v>
      </c>
    </row>
    <row r="21" spans="1:5">
      <c r="A21" s="6" t="s">
        <v>37</v>
      </c>
      <c r="B21" s="6">
        <f>COUNTBLANK(Bugs!$H$2:$H$15)</f>
        <v>14</v>
      </c>
      <c r="D21" s="5" t="s">
        <v>38</v>
      </c>
      <c r="E21" s="5">
        <f>COUNTA(Features!$A$2:$A$14)</f>
        <v>13</v>
      </c>
    </row>
    <row r="22" spans="1:5">
      <c r="A22" s="5" t="s">
        <v>38</v>
      </c>
      <c r="B22" s="5">
        <f>COUNTA(Bugs!$A$2:$A$15)</f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>
      <pane xSplit="2" ySplit="1" topLeftCell="C8" activePane="bottomRight" state="frozen"/>
      <selection pane="topRight"/>
      <selection pane="bottomLeft"/>
      <selection pane="bottomRight" activeCell="G1" sqref="G1"/>
    </sheetView>
  </sheetViews>
  <sheetFormatPr defaultRowHeight="15"/>
  <cols>
    <col min="1" max="1" width="7" customWidth="1"/>
    <col min="2" max="2" width="18" customWidth="1"/>
    <col min="3" max="3" width="46" customWidth="1"/>
    <col min="4" max="4" width="66" customWidth="1"/>
    <col min="5" max="5" width="42" customWidth="1"/>
    <col min="6" max="8" width="11" customWidth="1"/>
    <col min="9" max="9" width="12" customWidth="1"/>
    <col min="10" max="10" width="13" customWidth="1"/>
    <col min="11" max="12" width="12" customWidth="1"/>
    <col min="13" max="13" width="30" customWidth="1"/>
  </cols>
  <sheetData>
    <row r="1" spans="1:13" ht="30" customHeight="1">
      <c r="A1" s="10" t="s">
        <v>17</v>
      </c>
      <c r="B1" s="10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171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</row>
    <row r="2" spans="1:13" ht="57.95" customHeight="1">
      <c r="A2" s="11" t="s">
        <v>24</v>
      </c>
      <c r="B2" s="12" t="s">
        <v>44</v>
      </c>
      <c r="C2" s="12" t="s">
        <v>45</v>
      </c>
      <c r="D2" s="12" t="s">
        <v>46</v>
      </c>
      <c r="E2" s="12" t="s">
        <v>47</v>
      </c>
      <c r="F2" s="13" t="s">
        <v>170</v>
      </c>
      <c r="G2" s="13">
        <v>2</v>
      </c>
      <c r="H2" s="14"/>
      <c r="I2" s="14"/>
      <c r="J2" s="14"/>
      <c r="K2" s="14"/>
      <c r="L2" s="14"/>
      <c r="M2" s="14"/>
    </row>
    <row r="3" spans="1:13" ht="57.95" customHeight="1">
      <c r="A3" s="11" t="s">
        <v>48</v>
      </c>
      <c r="B3" s="12" t="s">
        <v>44</v>
      </c>
      <c r="C3" s="12" t="s">
        <v>49</v>
      </c>
      <c r="D3" s="12" t="s">
        <v>50</v>
      </c>
      <c r="E3" s="12" t="s">
        <v>51</v>
      </c>
      <c r="F3" s="13" t="s">
        <v>170</v>
      </c>
      <c r="G3" s="13">
        <v>2</v>
      </c>
      <c r="H3" s="14"/>
      <c r="I3" s="14"/>
      <c r="J3" s="14"/>
      <c r="K3" s="14"/>
      <c r="L3" s="14"/>
      <c r="M3" s="14"/>
    </row>
    <row r="4" spans="1:13" ht="57.95" customHeight="1">
      <c r="A4" s="11" t="s">
        <v>52</v>
      </c>
      <c r="B4" s="12" t="s">
        <v>53</v>
      </c>
      <c r="C4" s="12" t="s">
        <v>54</v>
      </c>
      <c r="D4" s="12" t="s">
        <v>55</v>
      </c>
      <c r="E4" s="12" t="s">
        <v>56</v>
      </c>
      <c r="F4" s="13" t="s">
        <v>34</v>
      </c>
      <c r="G4" s="13">
        <v>1</v>
      </c>
      <c r="H4" s="14"/>
      <c r="I4" s="14"/>
      <c r="J4" s="14"/>
      <c r="K4" s="14"/>
      <c r="L4" s="14"/>
      <c r="M4" s="14"/>
    </row>
    <row r="5" spans="1:13" ht="57.95" customHeight="1">
      <c r="A5" s="11" t="s">
        <v>57</v>
      </c>
      <c r="B5" s="12" t="s">
        <v>58</v>
      </c>
      <c r="C5" s="12" t="s">
        <v>59</v>
      </c>
      <c r="D5" s="12" t="s">
        <v>60</v>
      </c>
      <c r="E5" s="12" t="s">
        <v>61</v>
      </c>
      <c r="F5" s="13" t="s">
        <v>34</v>
      </c>
      <c r="G5" s="13">
        <v>2</v>
      </c>
      <c r="H5" s="14"/>
      <c r="I5" s="14"/>
      <c r="J5" s="14"/>
      <c r="K5" s="14"/>
      <c r="L5" s="14"/>
      <c r="M5" s="14"/>
    </row>
    <row r="6" spans="1:13" ht="57.95" customHeight="1">
      <c r="A6" s="11" t="s">
        <v>62</v>
      </c>
      <c r="B6" s="12" t="s">
        <v>63</v>
      </c>
      <c r="C6" s="12" t="s">
        <v>64</v>
      </c>
      <c r="D6" s="12" t="s">
        <v>65</v>
      </c>
      <c r="E6" s="12" t="s">
        <v>66</v>
      </c>
      <c r="F6" s="13" t="s">
        <v>36</v>
      </c>
      <c r="G6" s="13">
        <v>2</v>
      </c>
      <c r="H6" s="14"/>
      <c r="I6" s="14"/>
      <c r="J6" s="14"/>
      <c r="K6" s="14"/>
      <c r="L6" s="14"/>
      <c r="M6" s="14"/>
    </row>
    <row r="7" spans="1:13" ht="57.95" customHeight="1">
      <c r="A7" s="11" t="s">
        <v>67</v>
      </c>
      <c r="B7" s="12" t="s">
        <v>68</v>
      </c>
      <c r="C7" s="12" t="s">
        <v>69</v>
      </c>
      <c r="D7" s="12" t="s">
        <v>70</v>
      </c>
      <c r="E7" s="12" t="s">
        <v>71</v>
      </c>
      <c r="F7" s="13" t="s">
        <v>36</v>
      </c>
      <c r="G7" s="13">
        <v>2</v>
      </c>
      <c r="H7" s="14"/>
      <c r="I7" s="14"/>
      <c r="J7" s="14"/>
      <c r="K7" s="14"/>
      <c r="L7" s="14"/>
      <c r="M7" s="14"/>
    </row>
    <row r="8" spans="1:13" ht="57.95" customHeight="1">
      <c r="A8" s="11" t="s">
        <v>72</v>
      </c>
      <c r="B8" s="12" t="s">
        <v>73</v>
      </c>
      <c r="C8" s="12" t="s">
        <v>74</v>
      </c>
      <c r="D8" s="12" t="s">
        <v>75</v>
      </c>
      <c r="E8" s="12" t="s">
        <v>76</v>
      </c>
      <c r="F8" s="13" t="s">
        <v>34</v>
      </c>
      <c r="G8" s="13">
        <v>1</v>
      </c>
      <c r="H8" s="14"/>
      <c r="I8" s="14"/>
      <c r="J8" s="14"/>
      <c r="K8" s="14"/>
      <c r="L8" s="14"/>
      <c r="M8" s="14"/>
    </row>
    <row r="9" spans="1:13" ht="57.95" customHeight="1">
      <c r="A9" s="11" t="s">
        <v>77</v>
      </c>
      <c r="B9" s="12" t="s">
        <v>78</v>
      </c>
      <c r="C9" s="12" t="s">
        <v>79</v>
      </c>
      <c r="D9" s="12" t="s">
        <v>80</v>
      </c>
      <c r="E9" s="12" t="s">
        <v>81</v>
      </c>
      <c r="F9" s="13" t="s">
        <v>36</v>
      </c>
      <c r="G9" s="13">
        <v>1</v>
      </c>
      <c r="H9" s="14"/>
      <c r="I9" s="14"/>
      <c r="J9" s="14"/>
      <c r="K9" s="14"/>
      <c r="L9" s="14"/>
      <c r="M9" s="14"/>
    </row>
    <row r="10" spans="1:13" ht="57.95" customHeight="1">
      <c r="A10" s="11" t="s">
        <v>82</v>
      </c>
      <c r="B10" s="12" t="s">
        <v>83</v>
      </c>
      <c r="C10" s="12" t="s">
        <v>84</v>
      </c>
      <c r="D10" s="12" t="s">
        <v>85</v>
      </c>
      <c r="E10" s="12" t="s">
        <v>86</v>
      </c>
      <c r="F10" s="13" t="s">
        <v>36</v>
      </c>
      <c r="G10" s="13">
        <v>2</v>
      </c>
      <c r="H10" s="14"/>
      <c r="I10" s="14"/>
      <c r="J10" s="14"/>
      <c r="K10" s="14"/>
      <c r="L10" s="14"/>
      <c r="M10" s="14"/>
    </row>
    <row r="11" spans="1:13" ht="57.95" customHeight="1">
      <c r="A11" s="11" t="s">
        <v>87</v>
      </c>
      <c r="B11" s="12" t="s">
        <v>88</v>
      </c>
      <c r="C11" s="12" t="s">
        <v>89</v>
      </c>
      <c r="D11" s="12" t="s">
        <v>90</v>
      </c>
      <c r="E11" s="12" t="s">
        <v>91</v>
      </c>
      <c r="F11" s="13" t="s">
        <v>36</v>
      </c>
      <c r="G11" s="13">
        <v>2</v>
      </c>
      <c r="H11" s="14"/>
      <c r="I11" s="14"/>
      <c r="J11" s="14"/>
      <c r="K11" s="14"/>
      <c r="L11" s="14"/>
      <c r="M11" s="14"/>
    </row>
    <row r="12" spans="1:13" ht="57.95" customHeight="1">
      <c r="A12" s="11" t="s">
        <v>92</v>
      </c>
      <c r="B12" s="12" t="s">
        <v>93</v>
      </c>
      <c r="C12" s="12" t="s">
        <v>94</v>
      </c>
      <c r="D12" s="12" t="s">
        <v>95</v>
      </c>
      <c r="E12" s="12" t="s">
        <v>96</v>
      </c>
      <c r="F12" s="13" t="s">
        <v>36</v>
      </c>
      <c r="G12" s="13">
        <v>2</v>
      </c>
      <c r="H12" s="14"/>
      <c r="I12" s="14"/>
      <c r="J12" s="14"/>
      <c r="K12" s="14"/>
      <c r="L12" s="14"/>
      <c r="M12" s="14"/>
    </row>
    <row r="13" spans="1:13" ht="57.95" customHeight="1">
      <c r="A13" s="11" t="s">
        <v>97</v>
      </c>
      <c r="B13" s="12" t="s">
        <v>78</v>
      </c>
      <c r="C13" s="12" t="s">
        <v>98</v>
      </c>
      <c r="D13" s="12" t="s">
        <v>99</v>
      </c>
      <c r="E13" s="12" t="s">
        <v>100</v>
      </c>
      <c r="F13" s="13" t="s">
        <v>36</v>
      </c>
      <c r="G13" s="13">
        <v>2</v>
      </c>
      <c r="H13" s="14"/>
      <c r="I13" s="14"/>
      <c r="J13" s="14"/>
      <c r="K13" s="14"/>
      <c r="L13" s="14"/>
      <c r="M13" s="14"/>
    </row>
    <row r="14" spans="1:13" ht="57.95" customHeight="1">
      <c r="A14" s="11" t="s">
        <v>101</v>
      </c>
      <c r="B14" s="12" t="s">
        <v>102</v>
      </c>
      <c r="C14" s="12" t="s">
        <v>103</v>
      </c>
      <c r="D14" s="12" t="s">
        <v>104</v>
      </c>
      <c r="E14" s="12" t="s">
        <v>105</v>
      </c>
      <c r="F14" s="13" t="s">
        <v>36</v>
      </c>
      <c r="G14" s="13">
        <v>2</v>
      </c>
      <c r="H14" s="14"/>
      <c r="I14" s="14"/>
      <c r="J14" s="14"/>
      <c r="K14" s="14"/>
      <c r="L14" s="14"/>
      <c r="M14" s="14"/>
    </row>
    <row r="15" spans="1:13" ht="57.95" customHeight="1">
      <c r="A15" s="11" t="s">
        <v>106</v>
      </c>
      <c r="B15" s="12" t="s">
        <v>73</v>
      </c>
      <c r="C15" s="12" t="s">
        <v>107</v>
      </c>
      <c r="D15" s="12" t="s">
        <v>108</v>
      </c>
      <c r="E15" s="12" t="s">
        <v>109</v>
      </c>
      <c r="F15" s="13" t="s">
        <v>36</v>
      </c>
      <c r="G15" s="13">
        <v>1</v>
      </c>
      <c r="H15" s="14"/>
      <c r="I15" s="14"/>
      <c r="J15" s="14"/>
      <c r="K15" s="14"/>
      <c r="L15" s="14"/>
      <c r="M15" s="14"/>
    </row>
  </sheetData>
  <autoFilter ref="A1:M15">
    <filterColumn colId="6"/>
  </autoFilter>
  <dataValidations count="2">
    <dataValidation type="list" allowBlank="1" sqref="H2:H15">
      <formula1>"P1,P2,P3"</formula1>
    </dataValidation>
    <dataValidation type="list" allowBlank="1" sqref="J2:J15">
      <formula1>"Open,In Progress,Fixed,Deferred,Won't 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>
      <pane xSplit="2" ySplit="1" topLeftCell="C8" activePane="bottomRight" state="frozen"/>
      <selection pane="topRight"/>
      <selection pane="bottomLeft"/>
      <selection pane="bottomRight" activeCell="E15" sqref="E15"/>
    </sheetView>
  </sheetViews>
  <sheetFormatPr defaultRowHeight="15"/>
  <cols>
    <col min="1" max="1" width="7" customWidth="1"/>
    <col min="2" max="2" width="18" customWidth="1"/>
    <col min="3" max="3" width="46" customWidth="1"/>
    <col min="4" max="4" width="66" customWidth="1"/>
    <col min="5" max="5" width="42" customWidth="1"/>
    <col min="6" max="8" width="11" customWidth="1"/>
    <col min="9" max="9" width="12" customWidth="1"/>
    <col min="10" max="10" width="13" customWidth="1"/>
    <col min="11" max="12" width="12" customWidth="1"/>
    <col min="13" max="13" width="30" customWidth="1"/>
  </cols>
  <sheetData>
    <row r="1" spans="1:13" ht="30" customHeight="1">
      <c r="A1" s="10" t="s">
        <v>17</v>
      </c>
      <c r="B1" s="10" t="s">
        <v>39</v>
      </c>
      <c r="C1" s="10" t="s">
        <v>110</v>
      </c>
      <c r="D1" s="10" t="s">
        <v>111</v>
      </c>
      <c r="E1" s="10" t="s">
        <v>42</v>
      </c>
      <c r="F1" s="10" t="s">
        <v>43</v>
      </c>
      <c r="G1" s="10" t="s">
        <v>171</v>
      </c>
      <c r="H1" s="10" t="s">
        <v>18</v>
      </c>
      <c r="I1" s="10" t="s">
        <v>112</v>
      </c>
      <c r="J1" s="10" t="s">
        <v>20</v>
      </c>
      <c r="K1" s="10" t="s">
        <v>21</v>
      </c>
      <c r="L1" s="10" t="s">
        <v>22</v>
      </c>
      <c r="M1" s="10" t="s">
        <v>23</v>
      </c>
    </row>
    <row r="2" spans="1:13" ht="57.95" customHeight="1">
      <c r="A2" s="11" t="s">
        <v>113</v>
      </c>
      <c r="B2" s="12" t="s">
        <v>114</v>
      </c>
      <c r="C2" s="12" t="s">
        <v>115</v>
      </c>
      <c r="D2" s="12" t="s">
        <v>116</v>
      </c>
      <c r="E2" s="12" t="s">
        <v>117</v>
      </c>
      <c r="F2" s="13" t="s">
        <v>33</v>
      </c>
      <c r="G2" s="13">
        <v>2</v>
      </c>
      <c r="H2" s="14"/>
      <c r="I2" s="14"/>
      <c r="J2" s="14"/>
      <c r="K2" s="14"/>
      <c r="L2" s="14"/>
      <c r="M2" s="14"/>
    </row>
    <row r="3" spans="1:13" ht="57.95" customHeight="1">
      <c r="A3" s="11" t="s">
        <v>118</v>
      </c>
      <c r="B3" s="12" t="s">
        <v>44</v>
      </c>
      <c r="C3" s="12" t="s">
        <v>119</v>
      </c>
      <c r="D3" s="12" t="s">
        <v>120</v>
      </c>
      <c r="E3" s="12" t="s">
        <v>121</v>
      </c>
      <c r="F3" s="13" t="s">
        <v>33</v>
      </c>
      <c r="G3" s="13">
        <v>2</v>
      </c>
      <c r="H3" s="14"/>
      <c r="I3" s="14"/>
      <c r="J3" s="14"/>
      <c r="K3" s="14"/>
      <c r="L3" s="14"/>
      <c r="M3" s="14"/>
    </row>
    <row r="4" spans="1:13" ht="57.95" customHeight="1">
      <c r="A4" s="11" t="s">
        <v>122</v>
      </c>
      <c r="B4" s="12" t="s">
        <v>123</v>
      </c>
      <c r="C4" s="12" t="s">
        <v>124</v>
      </c>
      <c r="D4" s="12" t="s">
        <v>125</v>
      </c>
      <c r="E4" s="12" t="s">
        <v>126</v>
      </c>
      <c r="F4" s="13" t="s">
        <v>33</v>
      </c>
      <c r="G4" s="13">
        <v>2</v>
      </c>
      <c r="H4" s="14"/>
      <c r="I4" s="14"/>
      <c r="J4" s="14"/>
      <c r="K4" s="14"/>
      <c r="L4" s="14"/>
      <c r="M4" s="14"/>
    </row>
    <row r="5" spans="1:13" ht="57.95" customHeight="1">
      <c r="A5" s="11" t="s">
        <v>127</v>
      </c>
      <c r="B5" s="12" t="s">
        <v>114</v>
      </c>
      <c r="C5" s="12" t="s">
        <v>128</v>
      </c>
      <c r="D5" s="12" t="s">
        <v>129</v>
      </c>
      <c r="E5" s="12" t="s">
        <v>130</v>
      </c>
      <c r="F5" s="13" t="s">
        <v>33</v>
      </c>
      <c r="G5" s="13">
        <v>2</v>
      </c>
      <c r="H5" s="14"/>
      <c r="I5" s="14"/>
      <c r="J5" s="14"/>
      <c r="K5" s="14"/>
      <c r="L5" s="14"/>
      <c r="M5" s="14"/>
    </row>
    <row r="6" spans="1:13" ht="57.95" customHeight="1">
      <c r="A6" s="11" t="s">
        <v>131</v>
      </c>
      <c r="B6" s="12" t="s">
        <v>83</v>
      </c>
      <c r="C6" s="12" t="s">
        <v>132</v>
      </c>
      <c r="D6" s="12" t="s">
        <v>133</v>
      </c>
      <c r="E6" s="12" t="s">
        <v>134</v>
      </c>
      <c r="F6" s="13" t="s">
        <v>35</v>
      </c>
      <c r="G6" s="13">
        <v>2</v>
      </c>
      <c r="H6" s="14"/>
      <c r="I6" s="14"/>
      <c r="J6" s="14"/>
      <c r="K6" s="14"/>
      <c r="L6" s="14"/>
      <c r="M6" s="14"/>
    </row>
    <row r="7" spans="1:13" ht="57.95" customHeight="1">
      <c r="A7" s="11" t="s">
        <v>135</v>
      </c>
      <c r="B7" s="12" t="s">
        <v>123</v>
      </c>
      <c r="C7" s="12" t="s">
        <v>136</v>
      </c>
      <c r="D7" s="12" t="s">
        <v>137</v>
      </c>
      <c r="E7" s="12" t="s">
        <v>138</v>
      </c>
      <c r="F7" s="13" t="s">
        <v>35</v>
      </c>
      <c r="G7" s="13">
        <v>4</v>
      </c>
      <c r="H7" s="14"/>
      <c r="I7" s="14"/>
      <c r="J7" s="14"/>
      <c r="K7" s="14"/>
      <c r="L7" s="14"/>
      <c r="M7" s="14"/>
    </row>
    <row r="8" spans="1:13" ht="57.95" customHeight="1">
      <c r="A8" s="11" t="s">
        <v>139</v>
      </c>
      <c r="B8" s="12" t="s">
        <v>140</v>
      </c>
      <c r="C8" s="12" t="s">
        <v>141</v>
      </c>
      <c r="D8" s="12" t="s">
        <v>142</v>
      </c>
      <c r="E8" s="12" t="s">
        <v>143</v>
      </c>
      <c r="F8" s="13" t="s">
        <v>35</v>
      </c>
      <c r="G8" s="13">
        <v>4</v>
      </c>
      <c r="H8" s="14"/>
      <c r="I8" s="14"/>
      <c r="J8" s="14"/>
      <c r="K8" s="14"/>
      <c r="L8" s="14"/>
      <c r="M8" s="14"/>
    </row>
    <row r="9" spans="1:13" ht="57.95" customHeight="1">
      <c r="A9" s="11" t="s">
        <v>144</v>
      </c>
      <c r="B9" s="12" t="s">
        <v>78</v>
      </c>
      <c r="C9" s="12" t="s">
        <v>145</v>
      </c>
      <c r="D9" s="12" t="s">
        <v>146</v>
      </c>
      <c r="E9" s="12" t="s">
        <v>147</v>
      </c>
      <c r="F9" s="13" t="s">
        <v>35</v>
      </c>
      <c r="G9" s="13">
        <v>3</v>
      </c>
      <c r="H9" s="14"/>
      <c r="I9" s="14"/>
      <c r="J9" s="14"/>
      <c r="K9" s="14"/>
      <c r="L9" s="14"/>
      <c r="M9" s="14"/>
    </row>
    <row r="10" spans="1:13" ht="57.95" customHeight="1">
      <c r="A10" s="11" t="s">
        <v>148</v>
      </c>
      <c r="B10" s="12" t="s">
        <v>149</v>
      </c>
      <c r="C10" s="12" t="s">
        <v>150</v>
      </c>
      <c r="D10" s="12" t="s">
        <v>151</v>
      </c>
      <c r="E10" s="12" t="s">
        <v>152</v>
      </c>
      <c r="F10" s="13" t="s">
        <v>35</v>
      </c>
      <c r="G10" s="13">
        <v>2</v>
      </c>
      <c r="H10" s="14"/>
      <c r="I10" s="14"/>
      <c r="J10" s="14"/>
      <c r="K10" s="14"/>
      <c r="L10" s="14"/>
      <c r="M10" s="14"/>
    </row>
    <row r="11" spans="1:13" ht="57.95" customHeight="1">
      <c r="A11" s="11" t="s">
        <v>153</v>
      </c>
      <c r="B11" s="12" t="s">
        <v>149</v>
      </c>
      <c r="C11" s="12" t="s">
        <v>154</v>
      </c>
      <c r="D11" s="12" t="s">
        <v>155</v>
      </c>
      <c r="E11" s="12" t="s">
        <v>156</v>
      </c>
      <c r="F11" s="13" t="s">
        <v>35</v>
      </c>
      <c r="G11" s="13">
        <v>2</v>
      </c>
      <c r="H11" s="14"/>
      <c r="I11" s="14"/>
      <c r="J11" s="14"/>
      <c r="K11" s="14"/>
      <c r="L11" s="14"/>
      <c r="M11" s="14"/>
    </row>
    <row r="12" spans="1:13" ht="57.95" customHeight="1">
      <c r="A12" s="11" t="s">
        <v>157</v>
      </c>
      <c r="B12" s="12" t="s">
        <v>83</v>
      </c>
      <c r="C12" s="12" t="s">
        <v>158</v>
      </c>
      <c r="D12" s="12" t="s">
        <v>159</v>
      </c>
      <c r="E12" s="12" t="s">
        <v>160</v>
      </c>
      <c r="F12" s="13" t="s">
        <v>35</v>
      </c>
      <c r="G12" s="13">
        <v>5</v>
      </c>
      <c r="H12" s="14"/>
      <c r="I12" s="14"/>
      <c r="J12" s="14"/>
      <c r="K12" s="14"/>
      <c r="L12" s="14"/>
      <c r="M12" s="14"/>
    </row>
    <row r="13" spans="1:13" ht="57.95" customHeight="1">
      <c r="A13" s="11" t="s">
        <v>161</v>
      </c>
      <c r="B13" s="12" t="s">
        <v>140</v>
      </c>
      <c r="C13" s="12" t="s">
        <v>162</v>
      </c>
      <c r="D13" s="12" t="s">
        <v>163</v>
      </c>
      <c r="E13" s="12" t="s">
        <v>164</v>
      </c>
      <c r="F13" s="13" t="s">
        <v>35</v>
      </c>
      <c r="G13" s="13">
        <v>2</v>
      </c>
      <c r="H13" s="14"/>
      <c r="I13" s="14"/>
      <c r="J13" s="14"/>
      <c r="K13" s="14"/>
      <c r="L13" s="14"/>
      <c r="M13" s="14"/>
    </row>
    <row r="14" spans="1:13" ht="57.95" customHeight="1">
      <c r="A14" s="11" t="s">
        <v>165</v>
      </c>
      <c r="B14" s="12" t="s">
        <v>166</v>
      </c>
      <c r="C14" s="12" t="s">
        <v>167</v>
      </c>
      <c r="D14" s="12" t="s">
        <v>168</v>
      </c>
      <c r="E14" s="12" t="s">
        <v>169</v>
      </c>
      <c r="F14" s="13" t="s">
        <v>35</v>
      </c>
      <c r="G14" s="13">
        <v>5</v>
      </c>
      <c r="H14" s="14"/>
      <c r="I14" s="14"/>
      <c r="J14" s="14"/>
      <c r="K14" s="14"/>
      <c r="L14" s="14"/>
      <c r="M14" s="14"/>
    </row>
  </sheetData>
  <autoFilter ref="A1:M14">
    <filterColumn colId="6"/>
  </autoFilter>
  <dataValidations count="2">
    <dataValidation type="list" allowBlank="1" sqref="H2:H14">
      <formula1>"C1,C2"</formula1>
    </dataValidation>
    <dataValidation type="list" allowBlank="1" sqref="J2:J14">
      <formula1>"Open,In Progress,Fixed,Deferred,Won't 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Bugs</vt:lpstr>
      <vt:lpstr>Features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srinivasarao kaza</cp:lastModifiedBy>
  <dcterms:created xsi:type="dcterms:W3CDTF">2026-07-28T17:29:54Z</dcterms:created>
  <dcterms:modified xsi:type="dcterms:W3CDTF">2026-07-28T17:46:20Z</dcterms:modified>
</cp:coreProperties>
</file>